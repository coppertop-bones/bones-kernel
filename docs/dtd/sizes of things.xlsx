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/arwen/coppertop/bk/docs/dtd/"/>
    </mc:Choice>
  </mc:AlternateContent>
  <xr:revisionPtr revIDLastSave="0" documentId="13_ncr:1_{DEE78A85-9446-B947-BC80-1D6BA16EDA7B}" xr6:coauthVersionLast="47" xr6:coauthVersionMax="47" xr10:uidLastSave="{00000000-0000-0000-0000-000000000000}"/>
  <bookViews>
    <workbookView xWindow="29960" yWindow="3180" windowWidth="39540" windowHeight="25100" xr2:uid="{C7FBEB83-D14E-A74D-8CCF-FD30B99349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1" l="1"/>
  <c r="E55" i="1"/>
  <c r="D56" i="1"/>
  <c r="D55" i="1"/>
  <c r="C56" i="1"/>
  <c r="C55" i="1"/>
  <c r="I54" i="1"/>
  <c r="H58" i="1"/>
  <c r="C46" i="1"/>
  <c r="E53" i="1"/>
  <c r="C53" i="1"/>
  <c r="D53" i="1"/>
  <c r="E50" i="1"/>
  <c r="E51" i="1"/>
  <c r="E52" i="1"/>
  <c r="C52" i="1"/>
  <c r="C51" i="1"/>
  <c r="C50" i="1"/>
  <c r="E49" i="1"/>
  <c r="C49" i="1"/>
  <c r="D49" i="1"/>
  <c r="C43" i="1"/>
  <c r="C47" i="1"/>
  <c r="C48" i="1" s="1"/>
  <c r="C45" i="1"/>
  <c r="C44" i="1"/>
  <c r="D2" i="1"/>
  <c r="D1" i="1"/>
  <c r="C3" i="1"/>
  <c r="C2" i="1"/>
  <c r="C1" i="1"/>
  <c r="B22" i="1"/>
  <c r="F20" i="1"/>
  <c r="E25" i="1"/>
  <c r="E26" i="1"/>
  <c r="E27" i="1"/>
  <c r="E28" i="1"/>
  <c r="E29" i="1"/>
  <c r="E30" i="1"/>
  <c r="E31" i="1"/>
  <c r="D25" i="1"/>
  <c r="D26" i="1"/>
  <c r="D27" i="1"/>
  <c r="D28" i="1"/>
  <c r="D29" i="1"/>
  <c r="D30" i="1"/>
  <c r="D31" i="1"/>
  <c r="C26" i="1"/>
  <c r="C27" i="1"/>
  <c r="C28" i="1"/>
  <c r="C29" i="1"/>
  <c r="C25" i="1"/>
  <c r="C8" i="1"/>
  <c r="C9" i="1" s="1"/>
  <c r="C10" i="1" s="1"/>
  <c r="C11" i="1" s="1"/>
  <c r="D8" i="1"/>
  <c r="D10" i="1" s="1"/>
  <c r="D11" i="1" s="1"/>
  <c r="C30" i="1"/>
  <c r="C31" i="1" s="1"/>
  <c r="D32" i="1" s="1"/>
  <c r="D33" i="1" s="1"/>
  <c r="D13" i="1"/>
  <c r="D21" i="1" s="1"/>
  <c r="C13" i="1"/>
  <c r="C15" i="1" l="1"/>
  <c r="C14" i="1"/>
  <c r="C16" i="1"/>
  <c r="D15" i="1"/>
  <c r="D17" i="1" s="1"/>
  <c r="D35" i="1" s="1"/>
  <c r="D14" i="1"/>
  <c r="C22" i="1" l="1"/>
  <c r="C17" i="1"/>
  <c r="C19" i="1" s="1"/>
  <c r="D38" i="1"/>
  <c r="D39" i="1" s="1"/>
  <c r="D16" i="1"/>
  <c r="D19" i="1" s="1"/>
  <c r="E15" i="1"/>
  <c r="D34" i="1"/>
  <c r="D36" i="1" l="1"/>
  <c r="D37" i="1" s="1"/>
</calcChain>
</file>

<file path=xl/sharedStrings.xml><?xml version="1.0" encoding="utf-8"?>
<sst xmlns="http://schemas.openxmlformats.org/spreadsheetml/2006/main" count="106" uniqueCount="103">
  <si>
    <t>line size</t>
  </si>
  <si>
    <t>immix</t>
  </si>
  <si>
    <t>bk</t>
  </si>
  <si>
    <t>immix cons</t>
  </si>
  <si>
    <t>block size</t>
  </si>
  <si>
    <t>lines per block</t>
  </si>
  <si>
    <t>line oh per block</t>
  </si>
  <si>
    <t>efficiency</t>
  </si>
  <si>
    <t>immix "require one mark byte per line", p5, sect "Block and line size"</t>
  </si>
  <si>
    <t>bk has a refcount per object slot for cow purposes</t>
  </si>
  <si>
    <t>lxr</t>
  </si>
  <si>
    <t>large object min</t>
  </si>
  <si>
    <t>small object max</t>
  </si>
  <si>
    <t>small object ceiling 12 + n * 16</t>
  </si>
  <si>
    <t>header - flags + btypeid</t>
  </si>
  <si>
    <t>flags</t>
  </si>
  <si>
    <t>bigger than small</t>
  </si>
  <si>
    <t>forwarded</t>
  </si>
  <si>
    <t>isPinned</t>
  </si>
  <si>
    <t>lxr + bk</t>
  </si>
  <si>
    <t>1 bit per line to mark as used</t>
  </si>
  <si>
    <t>1 bit per object to mark as pinned</t>
  </si>
  <si>
    <t>if rc &gt; 0 then is mature object</t>
  </si>
  <si>
    <t>is new object???</t>
  </si>
  <si>
    <t>only after first ref</t>
  </si>
  <si>
    <t>notSmall</t>
  </si>
  <si>
    <t>sizeOf</t>
  </si>
  <si>
    <t>isVarType</t>
  </si>
  <si>
    <t>which field holds size</t>
  </si>
  <si>
    <t>u8,u16,u32,u64, i8,i16,i32,i64</t>
  </si>
  <si>
    <t>slot size</t>
  </si>
  <si>
    <t>slots per line</t>
  </si>
  <si>
    <t>slot oh per block</t>
  </si>
  <si>
    <t>total small &amp; medium object area</t>
  </si>
  <si>
    <t>num blocks</t>
  </si>
  <si>
    <t>macos page size</t>
  </si>
  <si>
    <t>oh per block??</t>
  </si>
  <si>
    <t>slot oh per line (bytes)</t>
  </si>
  <si>
    <t>blocks per slot rc page</t>
  </si>
  <si>
    <t>MB per slot rc page</t>
  </si>
  <si>
    <t>block per line rc page</t>
  </si>
  <si>
    <t>slot rc vm</t>
  </si>
  <si>
    <t>line rc vm</t>
  </si>
  <si>
    <t>0x1_0000_0000</t>
  </si>
  <si>
    <t>0x_0800_0000</t>
  </si>
  <si>
    <t>MB of objects per line rc page</t>
  </si>
  <si>
    <t>4GB of slot rc + 128MB of line rc handles 256GB of objects</t>
  </si>
  <si>
    <t>Medium Object Sz</t>
  </si>
  <si>
    <t>Slot rc</t>
  </si>
  <si>
    <t>Line rc</t>
  </si>
  <si>
    <t>4 bits per line ref count</t>
  </si>
  <si>
    <t>bytes per block to ref count lines</t>
  </si>
  <si>
    <t>4 bits</t>
  </si>
  <si>
    <t>3 bits</t>
  </si>
  <si>
    <t>2 bits</t>
  </si>
  <si>
    <t>object map / 1bit rc oh</t>
  </si>
  <si>
    <t>2 bit rc</t>
  </si>
  <si>
    <t>4 bit rc</t>
  </si>
  <si>
    <t>32 byte average + map + 1bit rc</t>
  </si>
  <si>
    <t>32 byte average + map + 2bit rc</t>
  </si>
  <si>
    <t>32 byte average + map + 3bit rc</t>
  </si>
  <si>
    <t>32 byte average + map + 4bit rc</t>
  </si>
  <si>
    <t>lines</t>
  </si>
  <si>
    <t>om</t>
  </si>
  <si>
    <t>1 bit per slot</t>
  </si>
  <si>
    <t>1 bit per line</t>
  </si>
  <si>
    <t>when rc =&gt; 0 zero the om</t>
  </si>
  <si>
    <t>48 byte average + map + 4 bit rc</t>
  </si>
  <si>
    <t>1 bit rc</t>
  </si>
  <si>
    <t>4 byte header</t>
  </si>
  <si>
    <t>isSmall</t>
  </si>
  <si>
    <t>isTombstone</t>
  </si>
  <si>
    <t>type</t>
  </si>
  <si>
    <t>isVariable</t>
  </si>
  <si>
    <t>additionalRC</t>
  </si>
  <si>
    <t>block header</t>
  </si>
  <si>
    <t>if no additional rc then born dead</t>
  </si>
  <si>
    <t>0 or 1 can be mutated</t>
  </si>
  <si>
    <t>slots of medium only need to be marked during gc</t>
  </si>
  <si>
    <t>slots per page</t>
  </si>
  <si>
    <t>lines per page</t>
  </si>
  <si>
    <t>oh</t>
  </si>
  <si>
    <t>precise on heap</t>
  </si>
  <si>
    <t>generational</t>
  </si>
  <si>
    <t>arenas</t>
  </si>
  <si>
    <t>conservative on stack with internal pointers</t>
  </si>
  <si>
    <t>nursery gc</t>
  </si>
  <si>
    <t>opportunistic evacuation based defragmentation</t>
  </si>
  <si>
    <t>C-ABI</t>
  </si>
  <si>
    <t>pinning</t>
  </si>
  <si>
    <t>CoW support via rc</t>
  </si>
  <si>
    <t>cycle eliminating</t>
  </si>
  <si>
    <t>visited map - same size as object map - same memory?</t>
  </si>
  <si>
    <t>conservative - is object? If so queue</t>
  </si>
  <si>
    <t>isNursery?</t>
  </si>
  <si>
    <t>visit all conservative roots</t>
  </si>
  <si>
    <t>visit all mature roots</t>
  </si>
  <si>
    <t>clear nursery om</t>
  </si>
  <si>
    <t>clear line map</t>
  </si>
  <si>
    <t>any block not pinned can be evaculated</t>
  </si>
  <si>
    <t>full cycle elimiating gc (not needed in bones)</t>
  </si>
  <si>
    <t>bump allocation (with slot avoidance)</t>
  </si>
  <si>
    <t>large object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</si>
</sst>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0FA63-0C1A-9F4E-A038-5FD24117E8B0}">
  <dimension ref="B1:K79"/>
  <sheetViews>
    <sheetView tabSelected="1" topLeftCell="A19" zoomScale="150" zoomScaleNormal="150" workbookViewId="0">
      <selection activeCell="K27" sqref="K27"/>
    </sheetView>
  </sheetViews>
  <sheetFormatPr baseColWidth="10" defaultRowHeight="16" x14ac:dyDescent="0.2"/>
  <cols>
    <col min="2" max="2" width="50.33203125" bestFit="1" customWidth="1"/>
    <col min="3" max="3" width="16.33203125" bestFit="1" customWidth="1"/>
    <col min="4" max="4" width="14.6640625" bestFit="1" customWidth="1"/>
    <col min="5" max="5" width="12" bestFit="1" customWidth="1"/>
  </cols>
  <sheetData>
    <row r="1" spans="2:10" x14ac:dyDescent="0.2">
      <c r="B1" t="s">
        <v>52</v>
      </c>
      <c r="C1">
        <f>4/(16*8)</f>
        <v>3.125E-2</v>
      </c>
      <c r="D1">
        <f>D15/8</f>
        <v>16</v>
      </c>
    </row>
    <row r="2" spans="2:10" x14ac:dyDescent="0.2">
      <c r="B2" t="s">
        <v>53</v>
      </c>
      <c r="C2">
        <f>3/(16*8)</f>
        <v>2.34375E-2</v>
      </c>
      <c r="D2">
        <f>2*D16/8</f>
        <v>128</v>
      </c>
    </row>
    <row r="3" spans="2:10" x14ac:dyDescent="0.2">
      <c r="B3" t="s">
        <v>54</v>
      </c>
      <c r="C3">
        <f>2/(16*8)</f>
        <v>1.5625E-2</v>
      </c>
    </row>
    <row r="4" spans="2:10" x14ac:dyDescent="0.2">
      <c r="C4" t="s">
        <v>1</v>
      </c>
      <c r="D4" t="s">
        <v>2</v>
      </c>
      <c r="E4" t="s">
        <v>10</v>
      </c>
      <c r="F4" t="s">
        <v>3</v>
      </c>
    </row>
    <row r="5" spans="2:10" x14ac:dyDescent="0.2">
      <c r="B5" t="s">
        <v>13</v>
      </c>
      <c r="H5" t="s">
        <v>15</v>
      </c>
    </row>
    <row r="6" spans="2:10" x14ac:dyDescent="0.2">
      <c r="B6" t="s">
        <v>14</v>
      </c>
      <c r="D6">
        <v>4</v>
      </c>
      <c r="H6" t="s">
        <v>25</v>
      </c>
      <c r="I6" t="s">
        <v>16</v>
      </c>
    </row>
    <row r="7" spans="2:10" x14ac:dyDescent="0.2">
      <c r="B7" t="s">
        <v>12</v>
      </c>
      <c r="C7">
        <v>128</v>
      </c>
      <c r="D7">
        <v>256</v>
      </c>
      <c r="H7" t="s">
        <v>17</v>
      </c>
    </row>
    <row r="8" spans="2:10" x14ac:dyDescent="0.2">
      <c r="B8" t="s">
        <v>0</v>
      </c>
      <c r="C8">
        <f>C7</f>
        <v>128</v>
      </c>
      <c r="D8">
        <f>D7</f>
        <v>256</v>
      </c>
      <c r="H8" t="s">
        <v>18</v>
      </c>
    </row>
    <row r="9" spans="2:10" x14ac:dyDescent="0.2">
      <c r="B9" t="s">
        <v>30</v>
      </c>
      <c r="C9">
        <f>C8/8</f>
        <v>16</v>
      </c>
      <c r="D9">
        <v>16</v>
      </c>
    </row>
    <row r="10" spans="2:10" x14ac:dyDescent="0.2">
      <c r="B10" t="s">
        <v>31</v>
      </c>
      <c r="C10">
        <f>C8/C9</f>
        <v>8</v>
      </c>
      <c r="D10">
        <f>D8/D9</f>
        <v>16</v>
      </c>
      <c r="G10" t="s">
        <v>8</v>
      </c>
    </row>
    <row r="11" spans="2:10" x14ac:dyDescent="0.2">
      <c r="B11" t="s">
        <v>37</v>
      </c>
      <c r="C11">
        <f>1*C10/8</f>
        <v>1</v>
      </c>
      <c r="D11">
        <f>D10*2/8</f>
        <v>4</v>
      </c>
      <c r="G11" t="s">
        <v>9</v>
      </c>
    </row>
    <row r="13" spans="2:10" x14ac:dyDescent="0.2">
      <c r="B13" t="s">
        <v>4</v>
      </c>
      <c r="C13">
        <f>2^15</f>
        <v>32768</v>
      </c>
      <c r="D13">
        <f>2^15</f>
        <v>32768</v>
      </c>
    </row>
    <row r="14" spans="2:10" x14ac:dyDescent="0.2">
      <c r="B14" t="s">
        <v>11</v>
      </c>
      <c r="C14">
        <f>C13/4</f>
        <v>8192</v>
      </c>
      <c r="D14">
        <f>D13/4</f>
        <v>8192</v>
      </c>
      <c r="H14" t="s">
        <v>26</v>
      </c>
    </row>
    <row r="15" spans="2:10" x14ac:dyDescent="0.2">
      <c r="B15" t="s">
        <v>5</v>
      </c>
      <c r="C15">
        <f>C13/C8</f>
        <v>256</v>
      </c>
      <c r="D15">
        <f>D13/D8</f>
        <v>128</v>
      </c>
      <c r="E15">
        <f>D15*16</f>
        <v>2048</v>
      </c>
      <c r="I15" t="s">
        <v>27</v>
      </c>
    </row>
    <row r="16" spans="2:10" x14ac:dyDescent="0.2">
      <c r="B16" t="s">
        <v>32</v>
      </c>
      <c r="C16">
        <f>C11*C15</f>
        <v>256</v>
      </c>
      <c r="D16">
        <f>D15*D11</f>
        <v>512</v>
      </c>
      <c r="I16" t="s">
        <v>28</v>
      </c>
      <c r="J16" t="s">
        <v>29</v>
      </c>
    </row>
    <row r="17" spans="2:11" x14ac:dyDescent="0.2">
      <c r="B17" t="s">
        <v>6</v>
      </c>
      <c r="C17">
        <f t="shared" ref="C17:D17" si="0">C15/8</f>
        <v>32</v>
      </c>
      <c r="D17">
        <f t="shared" si="0"/>
        <v>16</v>
      </c>
    </row>
    <row r="18" spans="2:11" x14ac:dyDescent="0.2">
      <c r="B18" t="s">
        <v>36</v>
      </c>
      <c r="C18">
        <v>4</v>
      </c>
      <c r="D18">
        <v>4</v>
      </c>
    </row>
    <row r="19" spans="2:11" x14ac:dyDescent="0.2">
      <c r="B19" t="s">
        <v>7</v>
      </c>
      <c r="C19" s="1">
        <f>(C17+C16)/C13</f>
        <v>8.7890625E-3</v>
      </c>
      <c r="D19" s="1">
        <f>(D17+D16)/D13</f>
        <v>1.611328125E-2</v>
      </c>
      <c r="E19" s="1"/>
      <c r="F19" t="s">
        <v>50</v>
      </c>
    </row>
    <row r="20" spans="2:11" x14ac:dyDescent="0.2">
      <c r="F20">
        <f>D15/2</f>
        <v>64</v>
      </c>
      <c r="G20" t="s">
        <v>51</v>
      </c>
    </row>
    <row r="21" spans="2:11" x14ac:dyDescent="0.2">
      <c r="B21" t="s">
        <v>35</v>
      </c>
      <c r="D21">
        <f>D13</f>
        <v>32768</v>
      </c>
    </row>
    <row r="22" spans="2:11" x14ac:dyDescent="0.2">
      <c r="B22">
        <f>4/(16*8)</f>
        <v>3.125E-2</v>
      </c>
      <c r="C22">
        <f>C15/8</f>
        <v>32</v>
      </c>
    </row>
    <row r="24" spans="2:11" x14ac:dyDescent="0.2">
      <c r="C24" t="s">
        <v>47</v>
      </c>
      <c r="D24" t="s">
        <v>48</v>
      </c>
      <c r="E24" t="s">
        <v>49</v>
      </c>
    </row>
    <row r="25" spans="2:11" x14ac:dyDescent="0.2">
      <c r="B25">
        <v>32</v>
      </c>
      <c r="C25" s="2">
        <f>2^B25</f>
        <v>4294967296</v>
      </c>
      <c r="D25" s="2">
        <f t="shared" ref="D25:D30" si="1">C25/64</f>
        <v>67108864</v>
      </c>
      <c r="E25" s="2">
        <f t="shared" ref="E25:E31" si="2">D25/32</f>
        <v>2097152</v>
      </c>
      <c r="G25" t="s">
        <v>19</v>
      </c>
      <c r="H25" t="s">
        <v>20</v>
      </c>
      <c r="K25">
        <v>21.95</v>
      </c>
    </row>
    <row r="26" spans="2:11" x14ac:dyDescent="0.2">
      <c r="B26">
        <v>33</v>
      </c>
      <c r="C26" s="2">
        <f t="shared" ref="C26:C29" si="3">2^B26</f>
        <v>8589934592</v>
      </c>
      <c r="D26" s="2">
        <f t="shared" si="1"/>
        <v>134217728</v>
      </c>
      <c r="E26" s="2">
        <f t="shared" si="2"/>
        <v>4194304</v>
      </c>
      <c r="K26">
        <f>K25*12</f>
        <v>263.39999999999998</v>
      </c>
    </row>
    <row r="27" spans="2:11" x14ac:dyDescent="0.2">
      <c r="B27">
        <v>34</v>
      </c>
      <c r="C27" s="2">
        <f t="shared" si="3"/>
        <v>17179869184</v>
      </c>
      <c r="D27" s="2">
        <f t="shared" si="1"/>
        <v>268435456</v>
      </c>
      <c r="E27" s="2">
        <f t="shared" si="2"/>
        <v>8388608</v>
      </c>
    </row>
    <row r="28" spans="2:11" x14ac:dyDescent="0.2">
      <c r="B28">
        <v>35</v>
      </c>
      <c r="C28" s="2">
        <f t="shared" si="3"/>
        <v>34359738368</v>
      </c>
      <c r="D28" s="2">
        <f t="shared" si="1"/>
        <v>536870912</v>
      </c>
      <c r="E28" s="2">
        <f t="shared" si="2"/>
        <v>16777216</v>
      </c>
    </row>
    <row r="29" spans="2:11" x14ac:dyDescent="0.2">
      <c r="B29">
        <v>36</v>
      </c>
      <c r="C29" s="2">
        <f t="shared" si="3"/>
        <v>68719476736</v>
      </c>
      <c r="D29" s="2">
        <f t="shared" si="1"/>
        <v>1073741824</v>
      </c>
      <c r="E29" s="2">
        <f t="shared" si="2"/>
        <v>33554432</v>
      </c>
    </row>
    <row r="30" spans="2:11" x14ac:dyDescent="0.2">
      <c r="B30">
        <v>37</v>
      </c>
      <c r="C30" s="2">
        <f>2^B30</f>
        <v>137438953472</v>
      </c>
      <c r="D30" s="2">
        <f t="shared" si="1"/>
        <v>2147483648</v>
      </c>
      <c r="E30" s="2">
        <f t="shared" si="2"/>
        <v>67108864</v>
      </c>
      <c r="G30" t="s">
        <v>2</v>
      </c>
      <c r="H30" t="s">
        <v>21</v>
      </c>
    </row>
    <row r="31" spans="2:11" x14ac:dyDescent="0.2">
      <c r="B31">
        <v>38</v>
      </c>
      <c r="C31" s="2">
        <f>C30*2</f>
        <v>274877906944</v>
      </c>
      <c r="D31" s="2">
        <f>C31/64</f>
        <v>4294967296</v>
      </c>
      <c r="E31" s="2">
        <f t="shared" si="2"/>
        <v>134217728</v>
      </c>
      <c r="G31" t="s">
        <v>22</v>
      </c>
    </row>
    <row r="32" spans="2:11" x14ac:dyDescent="0.2">
      <c r="B32" t="s">
        <v>33</v>
      </c>
      <c r="D32" s="2">
        <f>C31</f>
        <v>274877906944</v>
      </c>
      <c r="G32" t="s">
        <v>23</v>
      </c>
    </row>
    <row r="33" spans="2:8" x14ac:dyDescent="0.2">
      <c r="B33" t="s">
        <v>34</v>
      </c>
      <c r="D33" s="2">
        <f>D32/D13</f>
        <v>8388608</v>
      </c>
      <c r="G33" t="s">
        <v>24</v>
      </c>
    </row>
    <row r="34" spans="2:8" x14ac:dyDescent="0.2">
      <c r="B34" t="s">
        <v>41</v>
      </c>
      <c r="D34" s="2">
        <f>D33*D16</f>
        <v>4294967296</v>
      </c>
      <c r="E34" t="s">
        <v>43</v>
      </c>
    </row>
    <row r="35" spans="2:8" x14ac:dyDescent="0.2">
      <c r="B35" t="s">
        <v>42</v>
      </c>
      <c r="D35" s="2">
        <f>D17*D33</f>
        <v>134217728</v>
      </c>
      <c r="E35" t="s">
        <v>44</v>
      </c>
    </row>
    <row r="36" spans="2:8" x14ac:dyDescent="0.2">
      <c r="B36" t="s">
        <v>38</v>
      </c>
      <c r="D36" s="2">
        <f>D21/D16</f>
        <v>64</v>
      </c>
    </row>
    <row r="37" spans="2:8" x14ac:dyDescent="0.2">
      <c r="B37" t="s">
        <v>39</v>
      </c>
      <c r="D37" s="2">
        <f>D36*D13</f>
        <v>2097152</v>
      </c>
    </row>
    <row r="38" spans="2:8" x14ac:dyDescent="0.2">
      <c r="B38" t="s">
        <v>40</v>
      </c>
      <c r="D38">
        <f>D21/D17</f>
        <v>2048</v>
      </c>
    </row>
    <row r="39" spans="2:8" x14ac:dyDescent="0.2">
      <c r="B39" t="s">
        <v>45</v>
      </c>
      <c r="D39" s="2">
        <f>D38*D13</f>
        <v>67108864</v>
      </c>
    </row>
    <row r="40" spans="2:8" x14ac:dyDescent="0.2">
      <c r="B40" t="s">
        <v>46</v>
      </c>
    </row>
    <row r="43" spans="2:8" x14ac:dyDescent="0.2">
      <c r="C43">
        <f>C13</f>
        <v>32768</v>
      </c>
      <c r="F43" t="s">
        <v>63</v>
      </c>
      <c r="G43" t="s">
        <v>62</v>
      </c>
      <c r="H43" t="s">
        <v>66</v>
      </c>
    </row>
    <row r="44" spans="2:8" x14ac:dyDescent="0.2">
      <c r="C44">
        <f>C13/16</f>
        <v>2048</v>
      </c>
      <c r="F44" t="s">
        <v>64</v>
      </c>
      <c r="G44" t="s">
        <v>65</v>
      </c>
    </row>
    <row r="45" spans="2:8" x14ac:dyDescent="0.2">
      <c r="B45" t="s">
        <v>55</v>
      </c>
      <c r="C45">
        <f>C44/8</f>
        <v>256</v>
      </c>
    </row>
    <row r="46" spans="2:8" x14ac:dyDescent="0.2">
      <c r="B46" t="s">
        <v>68</v>
      </c>
      <c r="C46">
        <f>C45/C43</f>
        <v>7.8125E-3</v>
      </c>
    </row>
    <row r="47" spans="2:8" x14ac:dyDescent="0.2">
      <c r="B47" t="s">
        <v>56</v>
      </c>
      <c r="C47">
        <f>C46*2</f>
        <v>1.5625E-2</v>
      </c>
    </row>
    <row r="48" spans="2:8" x14ac:dyDescent="0.2">
      <c r="B48" t="s">
        <v>57</v>
      </c>
      <c r="C48">
        <f>C47*2</f>
        <v>3.125E-2</v>
      </c>
    </row>
    <row r="49" spans="2:9" x14ac:dyDescent="0.2">
      <c r="B49" t="s">
        <v>58</v>
      </c>
      <c r="C49">
        <f>(C44+D49)/8</f>
        <v>384</v>
      </c>
      <c r="D49">
        <f>C43/32</f>
        <v>1024</v>
      </c>
      <c r="E49">
        <f>C49/C43</f>
        <v>1.171875E-2</v>
      </c>
      <c r="G49" t="s">
        <v>69</v>
      </c>
    </row>
    <row r="50" spans="2:9" x14ac:dyDescent="0.2">
      <c r="B50" t="s">
        <v>59</v>
      </c>
      <c r="C50">
        <f>(C44+2*D49)/8</f>
        <v>512</v>
      </c>
      <c r="E50">
        <f t="shared" ref="E50:E52" si="4">C50/$C$43</f>
        <v>1.5625E-2</v>
      </c>
    </row>
    <row r="51" spans="2:9" x14ac:dyDescent="0.2">
      <c r="B51" t="s">
        <v>60</v>
      </c>
      <c r="C51">
        <f>(C44+3*D49)/8</f>
        <v>640</v>
      </c>
      <c r="E51">
        <f t="shared" si="4"/>
        <v>1.953125E-2</v>
      </c>
      <c r="G51" t="s">
        <v>18</v>
      </c>
      <c r="H51">
        <v>1</v>
      </c>
    </row>
    <row r="52" spans="2:9" x14ac:dyDescent="0.2">
      <c r="B52" t="s">
        <v>61</v>
      </c>
      <c r="C52">
        <f>(C44+4*D49)/8</f>
        <v>768</v>
      </c>
      <c r="E52">
        <f t="shared" si="4"/>
        <v>2.34375E-2</v>
      </c>
      <c r="G52" t="s">
        <v>70</v>
      </c>
      <c r="H52">
        <v>1</v>
      </c>
    </row>
    <row r="53" spans="2:9" x14ac:dyDescent="0.2">
      <c r="B53" t="s">
        <v>67</v>
      </c>
      <c r="C53">
        <f>(C44+4*D53)/8</f>
        <v>597.33333333333326</v>
      </c>
      <c r="D53">
        <f>C43/48</f>
        <v>682.66666666666663</v>
      </c>
      <c r="E53">
        <f>C53/C43</f>
        <v>1.8229166666666664E-2</v>
      </c>
      <c r="G53" t="s">
        <v>71</v>
      </c>
      <c r="H53">
        <v>1</v>
      </c>
    </row>
    <row r="54" spans="2:9" x14ac:dyDescent="0.2">
      <c r="D54" t="s">
        <v>81</v>
      </c>
      <c r="G54" t="s">
        <v>72</v>
      </c>
      <c r="H54">
        <v>24</v>
      </c>
      <c r="I54" s="2">
        <f>2^H54</f>
        <v>16777216</v>
      </c>
    </row>
    <row r="55" spans="2:9" x14ac:dyDescent="0.2">
      <c r="B55" t="s">
        <v>79</v>
      </c>
      <c r="C55">
        <f>C43/16</f>
        <v>2048</v>
      </c>
      <c r="D55">
        <f>C55/8</f>
        <v>256</v>
      </c>
      <c r="E55">
        <f>(D55+D56)/C43</f>
        <v>8.30078125E-3</v>
      </c>
      <c r="G55" t="s">
        <v>73</v>
      </c>
      <c r="H55">
        <v>1</v>
      </c>
    </row>
    <row r="56" spans="2:9" x14ac:dyDescent="0.2">
      <c r="B56" t="s">
        <v>80</v>
      </c>
      <c r="C56">
        <f>C43/256</f>
        <v>128</v>
      </c>
      <c r="D56">
        <f>C56/8</f>
        <v>16</v>
      </c>
      <c r="G56" t="s">
        <v>74</v>
      </c>
      <c r="H56">
        <v>4</v>
      </c>
    </row>
    <row r="58" spans="2:9" x14ac:dyDescent="0.2">
      <c r="H58">
        <f>SUM(H51:H56)</f>
        <v>32</v>
      </c>
    </row>
    <row r="59" spans="2:9" x14ac:dyDescent="0.2">
      <c r="B59" t="s">
        <v>82</v>
      </c>
    </row>
    <row r="60" spans="2:9" x14ac:dyDescent="0.2">
      <c r="B60" t="s">
        <v>85</v>
      </c>
      <c r="G60" t="s">
        <v>75</v>
      </c>
    </row>
    <row r="61" spans="2:9" x14ac:dyDescent="0.2">
      <c r="B61" t="s">
        <v>101</v>
      </c>
      <c r="G61" t="s">
        <v>18</v>
      </c>
    </row>
    <row r="62" spans="2:9" x14ac:dyDescent="0.2">
      <c r="B62" t="s">
        <v>102</v>
      </c>
      <c r="G62" t="s">
        <v>94</v>
      </c>
    </row>
    <row r="63" spans="2:9" x14ac:dyDescent="0.2">
      <c r="B63" t="s">
        <v>83</v>
      </c>
    </row>
    <row r="64" spans="2:9" x14ac:dyDescent="0.2">
      <c r="B64" t="s">
        <v>84</v>
      </c>
      <c r="G64" t="s">
        <v>76</v>
      </c>
    </row>
    <row r="65" spans="2:7" x14ac:dyDescent="0.2">
      <c r="B65" t="s">
        <v>86</v>
      </c>
      <c r="G65" t="s">
        <v>77</v>
      </c>
    </row>
    <row r="66" spans="2:7" x14ac:dyDescent="0.2">
      <c r="B66" t="s">
        <v>87</v>
      </c>
    </row>
    <row r="67" spans="2:7" x14ac:dyDescent="0.2">
      <c r="B67" t="s">
        <v>90</v>
      </c>
      <c r="F67" t="s">
        <v>78</v>
      </c>
    </row>
    <row r="68" spans="2:7" x14ac:dyDescent="0.2">
      <c r="B68" t="s">
        <v>91</v>
      </c>
    </row>
    <row r="69" spans="2:7" x14ac:dyDescent="0.2">
      <c r="B69" t="s">
        <v>88</v>
      </c>
      <c r="G69" t="s">
        <v>99</v>
      </c>
    </row>
    <row r="70" spans="2:7" x14ac:dyDescent="0.2">
      <c r="B70" t="s">
        <v>89</v>
      </c>
    </row>
    <row r="71" spans="2:7" x14ac:dyDescent="0.2">
      <c r="B71" t="s">
        <v>100</v>
      </c>
    </row>
    <row r="72" spans="2:7" x14ac:dyDescent="0.2">
      <c r="B72" t="s">
        <v>92</v>
      </c>
    </row>
    <row r="75" spans="2:7" x14ac:dyDescent="0.2">
      <c r="B75" t="s">
        <v>93</v>
      </c>
    </row>
    <row r="76" spans="2:7" x14ac:dyDescent="0.2">
      <c r="B76" t="s">
        <v>97</v>
      </c>
    </row>
    <row r="77" spans="2:7" x14ac:dyDescent="0.2">
      <c r="B77" t="s">
        <v>98</v>
      </c>
    </row>
    <row r="78" spans="2:7" x14ac:dyDescent="0.2">
      <c r="B78" t="s">
        <v>95</v>
      </c>
    </row>
    <row r="79" spans="2:7" x14ac:dyDescent="0.2">
      <c r="B79" t="s">
        <v>96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Briant</dc:creator>
  <cp:lastModifiedBy>David Briant</cp:lastModifiedBy>
  <dcterms:created xsi:type="dcterms:W3CDTF">2023-10-30T08:19:24Z</dcterms:created>
  <dcterms:modified xsi:type="dcterms:W3CDTF">2023-11-25T06:34:07Z</dcterms:modified>
</cp:coreProperties>
</file>